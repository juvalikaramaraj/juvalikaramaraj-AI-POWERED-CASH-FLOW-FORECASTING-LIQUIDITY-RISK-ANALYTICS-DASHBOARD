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ajayk\Downloads\"/>
    </mc:Choice>
  </mc:AlternateContent>
  <xr:revisionPtr revIDLastSave="0" documentId="13_ncr:1_{8DF5B986-C1D8-4F16-BF03-576F38009D6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ASH FLOW" sheetId="1" r:id="rId1"/>
    <sheet name="ASSUMPTIONS" sheetId="2" r:id="rId2"/>
    <sheet name="BEST CASE SCENARIO" sheetId="3" r:id="rId3"/>
    <sheet name="WORST CASE SCENARIO" sheetId="4" r:id="rId4"/>
    <sheet name="EXECUTIVE SUMMARY" sheetId="7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4" l="1"/>
  <c r="B2" i="4"/>
  <c r="C2" i="3"/>
  <c r="C3" i="3" s="1"/>
  <c r="C4" i="3" s="1"/>
  <c r="C5" i="3" s="1"/>
  <c r="C6" i="3" s="1"/>
  <c r="C7" i="3" s="1"/>
  <c r="B2" i="3"/>
  <c r="B3" i="3" s="1"/>
  <c r="B4" i="3" s="1"/>
  <c r="D2" i="4" l="1"/>
  <c r="F2" i="4" s="1"/>
  <c r="E3" i="4" s="1"/>
  <c r="C3" i="4"/>
  <c r="C4" i="4" s="1"/>
  <c r="C5" i="4" s="1"/>
  <c r="C6" i="4" s="1"/>
  <c r="C7" i="4" s="1"/>
  <c r="B3" i="4"/>
  <c r="D4" i="3"/>
  <c r="B5" i="3"/>
  <c r="D2" i="3"/>
  <c r="F2" i="3" s="1"/>
  <c r="E3" i="3" s="1"/>
  <c r="D3" i="3"/>
  <c r="B14" i="1"/>
  <c r="C14" i="1"/>
  <c r="D14" i="1" s="1"/>
  <c r="D3" i="1"/>
  <c r="D4" i="1"/>
  <c r="D5" i="1"/>
  <c r="D6" i="1"/>
  <c r="D7" i="1"/>
  <c r="D8" i="1"/>
  <c r="D9" i="1"/>
  <c r="D10" i="1"/>
  <c r="D11" i="1"/>
  <c r="D12" i="1"/>
  <c r="D13" i="1"/>
  <c r="D2" i="1"/>
  <c r="B4" i="4" l="1"/>
  <c r="D3" i="4"/>
  <c r="F3" i="4" s="1"/>
  <c r="E4" i="4" s="1"/>
  <c r="B15" i="1"/>
  <c r="B16" i="1" s="1"/>
  <c r="B17" i="1" s="1"/>
  <c r="B18" i="1" s="1"/>
  <c r="B19" i="1" s="1"/>
  <c r="F2" i="1"/>
  <c r="E3" i="1" s="1"/>
  <c r="F3" i="1" s="1"/>
  <c r="E4" i="1" s="1"/>
  <c r="F4" i="1" s="1"/>
  <c r="E5" i="1" s="1"/>
  <c r="F5" i="1" s="1"/>
  <c r="E6" i="1" s="1"/>
  <c r="C15" i="1"/>
  <c r="C16" i="1" s="1"/>
  <c r="C17" i="1" s="1"/>
  <c r="C18" i="1" s="1"/>
  <c r="C19" i="1" s="1"/>
  <c r="F3" i="3"/>
  <c r="E4" i="3" s="1"/>
  <c r="F4" i="3" s="1"/>
  <c r="E5" i="3" s="1"/>
  <c r="D5" i="3"/>
  <c r="B6" i="3"/>
  <c r="B5" i="4" l="1"/>
  <c r="D4" i="4"/>
  <c r="F4" i="4" s="1"/>
  <c r="E5" i="4" s="1"/>
  <c r="F5" i="3"/>
  <c r="E6" i="3" s="1"/>
  <c r="D15" i="1"/>
  <c r="F6" i="1"/>
  <c r="E7" i="1" s="1"/>
  <c r="F7" i="1" s="1"/>
  <c r="E8" i="1" s="1"/>
  <c r="F8" i="1" s="1"/>
  <c r="E9" i="1" s="1"/>
  <c r="F9" i="1" s="1"/>
  <c r="E10" i="1" s="1"/>
  <c r="F10" i="1" s="1"/>
  <c r="E11" i="1" s="1"/>
  <c r="F11" i="1" s="1"/>
  <c r="E12" i="1" s="1"/>
  <c r="F12" i="1" s="1"/>
  <c r="E13" i="1" s="1"/>
  <c r="F13" i="1" s="1"/>
  <c r="E14" i="1" s="1"/>
  <c r="F14" i="1" s="1"/>
  <c r="E15" i="1" s="1"/>
  <c r="F15" i="1" s="1"/>
  <c r="E16" i="1" s="1"/>
  <c r="B7" i="3"/>
  <c r="D7" i="3" s="1"/>
  <c r="D6" i="3"/>
  <c r="D16" i="1"/>
  <c r="B6" i="4" l="1"/>
  <c r="D5" i="4"/>
  <c r="F5" i="4" s="1"/>
  <c r="E6" i="4" s="1"/>
  <c r="F6" i="3"/>
  <c r="E7" i="3" s="1"/>
  <c r="F16" i="1"/>
  <c r="E17" i="1" s="1"/>
  <c r="F7" i="3"/>
  <c r="D17" i="1"/>
  <c r="D6" i="4" l="1"/>
  <c r="F6" i="4" s="1"/>
  <c r="E7" i="4" s="1"/>
  <c r="B7" i="4"/>
  <c r="D7" i="4" s="1"/>
  <c r="F17" i="1"/>
  <c r="E18" i="1" s="1"/>
  <c r="D19" i="1"/>
  <c r="D18" i="1"/>
  <c r="F7" i="4" l="1"/>
  <c r="F18" i="1"/>
  <c r="E19" i="1" s="1"/>
  <c r="F19" i="1" l="1"/>
</calcChain>
</file>

<file path=xl/sharedStrings.xml><?xml version="1.0" encoding="utf-8"?>
<sst xmlns="http://schemas.openxmlformats.org/spreadsheetml/2006/main" count="96" uniqueCount="70">
  <si>
    <t>CASH INFLOW</t>
  </si>
  <si>
    <t>CASH OUTFLOW</t>
  </si>
  <si>
    <t>NET CASH FLOW</t>
  </si>
  <si>
    <t>OPENING BALANCE</t>
  </si>
  <si>
    <t>CLOSING BALANCE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</si>
  <si>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</si>
  <si>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</si>
  <si>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</si>
  <si>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</si>
  <si>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</si>
  <si>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</si>
  <si>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</si>
  <si>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</si>
  <si>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</si>
  <si>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</si>
  <si>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</si>
  <si>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</si>
  <si>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OBSERVATION</t>
  </si>
  <si>
    <t>NEGATIVE CASH FLOW DUE TO HIGHER EXPENSES</t>
  </si>
  <si>
    <t>STRONG LIQUIDITY MONTH</t>
  </si>
  <si>
    <t>LOW BUFFER MONTH</t>
  </si>
  <si>
    <t>MONTH/FORECAST</t>
  </si>
  <si>
    <t>APRIL(FORECAST)</t>
  </si>
  <si>
    <t>MAY(FORECAST)</t>
  </si>
  <si>
    <t>JUNE(FORECAST)</t>
  </si>
  <si>
    <t>JULY(FORECAST)</t>
  </si>
  <si>
    <t>AUGUST(FORECAST)</t>
  </si>
  <si>
    <t>SEPTEMBER(FORECAST)</t>
  </si>
  <si>
    <t>GROWTH IN INFLOW</t>
  </si>
  <si>
    <t>INCREASE IN OUTFLOW</t>
  </si>
  <si>
    <t>BEST CASE INFLOW GROWTH</t>
  </si>
  <si>
    <t>BEST CASE OUTFLOW GROWTH</t>
  </si>
  <si>
    <t>BEST CASE SCENARIO</t>
  </si>
  <si>
    <t>WORST CASE SCENARIO</t>
  </si>
  <si>
    <t>WORST CASE INFLOW GROWTH</t>
  </si>
  <si>
    <t>WORST CASE OUTFLOW GROWTH</t>
  </si>
  <si>
    <t>PURPOSE OF ANALYSIS</t>
  </si>
  <si>
    <t>KEY FINDINGS</t>
  </si>
  <si>
    <t>BASE CASE</t>
  </si>
  <si>
    <t>1. Monthly cash flows remains positive for most periods</t>
  </si>
  <si>
    <t>2. October shows negative net cash flow due to higher outflows</t>
  </si>
  <si>
    <t>3. January reflects the strongest liquidity position</t>
  </si>
  <si>
    <t>4. June shows thin cash buffer and needs monitoring</t>
  </si>
  <si>
    <t>RISK ANALYSIS</t>
  </si>
  <si>
    <t>1. Cash deficit risk arises if inflows slow and expenses increase</t>
  </si>
  <si>
    <t>2. worst case scenerio indicates possible cash stress in september month</t>
  </si>
  <si>
    <t>3. Sustained negative cash flow may require external funding or cost control</t>
  </si>
  <si>
    <t>RECOMMENDATIONS</t>
  </si>
  <si>
    <t>1. Improve cash collections in low inflow months</t>
  </si>
  <si>
    <t>2. Control discretionary expenses during risky periods</t>
  </si>
  <si>
    <t xml:space="preserve">3. Maintain minimum cash buffer for operational safety </t>
  </si>
  <si>
    <t>4. Regularly update assumptions for accurate forecasting</t>
  </si>
  <si>
    <t>CASH STRESS BEGINS HERE- MANAGEMENT ACTION REQUIRED</t>
  </si>
  <si>
    <t>KEY LIQUIDITY KPIs</t>
  </si>
  <si>
    <t>LOWEST CASH BALANCE =  -19284</t>
  </si>
  <si>
    <t>RISK MONTH =  SEPTEMBER</t>
  </si>
  <si>
    <t>CASH BUFFER STATUS = HEALTHY</t>
  </si>
  <si>
    <t>HOW TO THINK ABOUT EACH KPI</t>
  </si>
  <si>
    <t>1. LOWEST CASH BALANCE</t>
  </si>
  <si>
    <t>PULL FROM WORST CASE SHEET</t>
  </si>
  <si>
    <t>SHOWS MAXIMUM ROSK POINT</t>
  </si>
  <si>
    <t>2. RISK MONTH</t>
  </si>
  <si>
    <t>MONTH WHERE CASH IS LOWEST</t>
  </si>
  <si>
    <t>3. CASH BUFFER STATUS</t>
  </si>
  <si>
    <t>EX:</t>
  </si>
  <si>
    <t>ABOVE 50,000 - HEALTHY</t>
  </si>
  <si>
    <t>20,000 - 50,000 - WATCH</t>
  </si>
  <si>
    <t>BELOW 20,000 - CRITICAL</t>
  </si>
  <si>
    <t>This cash flow forecasting model is prepared to analyze monthly liquidity position and identify potential cash surplus or deficit under different scenorios (Base,Best, and worst case)</t>
  </si>
  <si>
    <t>MODERATE CASH SURPLUS MAINTAINED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</si>
</sst>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9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 NET CASH</a:t>
            </a:r>
            <a:r>
              <a:rPr lang="en-US" baseline="0"/>
              <a:t> FLOW TREND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2"/>
          <c:order val="0"/>
          <c:tx>
            <c:strRef>
              <c:f>'CASH FLOW'!$D$1</c:f>
              <c:strCache>
                <c:ptCount val="1"/>
                <c:pt idx="0">
                  <c:v>NET CASH FLOW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'CASH FLOW'!$A$2:$A$13</c:f>
              <c:strCache>
                <c:ptCount val="12"/>
                <c:pt idx="0">
                  <c:v>APRIL</c:v>
                </c:pt>
                <c:pt idx="1">
                  <c:v>MAY</c:v>
                </c:pt>
                <c:pt idx="2">
                  <c:v>JUNE</c:v>
                </c:pt>
                <c:pt idx="3">
                  <c:v>JULY</c:v>
                </c:pt>
                <c:pt idx="4">
                  <c:v>AUGUST</c:v>
                </c:pt>
                <c:pt idx="5">
                  <c:v>SEPTEMBER</c:v>
                </c:pt>
                <c:pt idx="6">
                  <c:v>OCTOBER</c:v>
                </c:pt>
                <c:pt idx="7">
                  <c:v>NOVEMBER</c:v>
                </c:pt>
                <c:pt idx="8">
                  <c:v>DECEMBER</c:v>
                </c:pt>
                <c:pt idx="9">
                  <c:v>JANUARY</c:v>
                </c:pt>
                <c:pt idx="10">
                  <c:v>FEBRUARY</c:v>
                </c:pt>
                <c:pt idx="11">
                  <c:v>MARCH</c:v>
                </c:pt>
              </c:strCache>
            </c:strRef>
          </c:cat>
          <c:val>
            <c:numRef>
              <c:f>'CASH FLOW'!$D$2:$D$13</c:f>
              <c:numCache>
                <c:formatCode>General</c:formatCode>
                <c:ptCount val="12"/>
                <c:pt idx="0">
                  <c:v>10000</c:v>
                </c:pt>
                <c:pt idx="1">
                  <c:v>15000</c:v>
                </c:pt>
                <c:pt idx="2">
                  <c:v>5000</c:v>
                </c:pt>
                <c:pt idx="3">
                  <c:v>18000</c:v>
                </c:pt>
                <c:pt idx="4">
                  <c:v>25000</c:v>
                </c:pt>
                <c:pt idx="5">
                  <c:v>7000</c:v>
                </c:pt>
                <c:pt idx="6">
                  <c:v>-6000</c:v>
                </c:pt>
                <c:pt idx="7">
                  <c:v>16000</c:v>
                </c:pt>
                <c:pt idx="8">
                  <c:v>17000</c:v>
                </c:pt>
                <c:pt idx="9">
                  <c:v>27000</c:v>
                </c:pt>
                <c:pt idx="10">
                  <c:v>9000</c:v>
                </c:pt>
                <c:pt idx="11">
                  <c:v>9000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3F2-4A12-9C81-DABA4A782B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4894832"/>
        <c:axId val="224899680"/>
      </c:lineChart>
      <c:catAx>
        <c:axId val="224894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4899680"/>
        <c:crosses val="autoZero"/>
        <c:auto val="1"/>
        <c:lblAlgn val="ctr"/>
        <c:lblOffset val="100"/>
        <c:noMultiLvlLbl val="0"/>
      </c:catAx>
      <c:valAx>
        <c:axId val="224899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48948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CASH</a:t>
            </a:r>
            <a:r>
              <a:rPr lang="en-US" baseline="0"/>
              <a:t> BALANCE MOVEMENT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4"/>
          <c:order val="0"/>
          <c:tx>
            <c:strRef>
              <c:f>'CASH FLOW'!$F$1</c:f>
              <c:strCache>
                <c:ptCount val="1"/>
                <c:pt idx="0">
                  <c:v>CLOSING BALANCE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f>'CASH FLOW'!$A$2:$A$13</c:f>
              <c:strCache>
                <c:ptCount val="12"/>
                <c:pt idx="0">
                  <c:v>APRIL</c:v>
                </c:pt>
                <c:pt idx="1">
                  <c:v>MAY</c:v>
                </c:pt>
                <c:pt idx="2">
                  <c:v>JUNE</c:v>
                </c:pt>
                <c:pt idx="3">
                  <c:v>JULY</c:v>
                </c:pt>
                <c:pt idx="4">
                  <c:v>AUGUST</c:v>
                </c:pt>
                <c:pt idx="5">
                  <c:v>SEPTEMBER</c:v>
                </c:pt>
                <c:pt idx="6">
                  <c:v>OCTOBER</c:v>
                </c:pt>
                <c:pt idx="7">
                  <c:v>NOVEMBER</c:v>
                </c:pt>
                <c:pt idx="8">
                  <c:v>DECEMBER</c:v>
                </c:pt>
                <c:pt idx="9">
                  <c:v>JANUARY</c:v>
                </c:pt>
                <c:pt idx="10">
                  <c:v>FEBRUARY</c:v>
                </c:pt>
                <c:pt idx="11">
                  <c:v>MARCH</c:v>
                </c:pt>
              </c:strCache>
            </c:strRef>
          </c:cat>
          <c:val>
            <c:numRef>
              <c:f>'CASH FLOW'!$F$2:$F$13</c:f>
              <c:numCache>
                <c:formatCode>General</c:formatCode>
                <c:ptCount val="12"/>
                <c:pt idx="0">
                  <c:v>110000</c:v>
                </c:pt>
                <c:pt idx="1">
                  <c:v>125000</c:v>
                </c:pt>
                <c:pt idx="2">
                  <c:v>130000</c:v>
                </c:pt>
                <c:pt idx="3">
                  <c:v>148000</c:v>
                </c:pt>
                <c:pt idx="4">
                  <c:v>173000</c:v>
                </c:pt>
                <c:pt idx="5">
                  <c:v>180000</c:v>
                </c:pt>
                <c:pt idx="6">
                  <c:v>174000</c:v>
                </c:pt>
                <c:pt idx="7">
                  <c:v>190000</c:v>
                </c:pt>
                <c:pt idx="8">
                  <c:v>207000</c:v>
                </c:pt>
                <c:pt idx="9">
                  <c:v>234000</c:v>
                </c:pt>
                <c:pt idx="10">
                  <c:v>243000</c:v>
                </c:pt>
                <c:pt idx="11">
                  <c:v>252000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B83-4D5F-A51D-81EF18404D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0826456"/>
        <c:axId val="220826840"/>
      </c:lineChart>
      <c:catAx>
        <c:axId val="220826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0826840"/>
        <c:crosses val="autoZero"/>
        <c:auto val="1"/>
        <c:lblAlgn val="ctr"/>
        <c:lblOffset val="100"/>
        <c:noMultiLvlLbl val="0"/>
      </c:catAx>
      <c:valAx>
        <c:axId val="220826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08264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</a:t>
            </a:r>
            <a:r>
              <a:rPr lang="en-US" baseline="0"/>
              <a:t> NET CASH FLOW TREND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2"/>
          <c:order val="0"/>
          <c:tx>
            <c:strRef>
              <c:f>'BEST CASE SCENARIO'!$D$1</c:f>
              <c:strCache>
                <c:ptCount val="1"/>
                <c:pt idx="0">
                  <c:v>NET CASH FLOW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'BEST CASE SCENARIO'!$A$2:$A$7</c:f>
              <c:strCache>
                <c:ptCount val="6"/>
                <c:pt idx="0">
                  <c:v>APRIL(FORECAST)</c:v>
                </c:pt>
                <c:pt idx="1">
                  <c:v>MAY(FORECAST)</c:v>
                </c:pt>
                <c:pt idx="2">
                  <c:v>JUNE(FORECAST)</c:v>
                </c:pt>
                <c:pt idx="3">
                  <c:v>JULY(FORECAST)</c:v>
                </c:pt>
                <c:pt idx="4">
                  <c:v>AUGUST(FORECAST)</c:v>
                </c:pt>
                <c:pt idx="5">
                  <c:v>SEPTEMBER(FORECAST)</c:v>
                </c:pt>
              </c:strCache>
            </c:strRef>
          </c:cat>
          <c:val>
            <c:numRef>
              <c:f>'BEST CASE SCENARIO'!$D$2:$D$7</c:f>
              <c:numCache>
                <c:formatCode>0</c:formatCode>
                <c:ptCount val="6"/>
                <c:pt idx="0" formatCode="General">
                  <c:v>14760</c:v>
                </c:pt>
                <c:pt idx="1">
                  <c:v>21351.600000000006</c:v>
                </c:pt>
                <c:pt idx="2">
                  <c:v>28878.804000000018</c:v>
                </c:pt>
                <c:pt idx="3">
                  <c:v>37458.222840000024</c:v>
                </c:pt>
                <c:pt idx="4">
                  <c:v>47220.590811600036</c:v>
                </c:pt>
                <c:pt idx="5">
                  <c:v>58312.464376716052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871-4668-A93A-DCB9A1040B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9666704"/>
        <c:axId val="239667088"/>
      </c:lineChart>
      <c:catAx>
        <c:axId val="239666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9667088"/>
        <c:crosses val="autoZero"/>
        <c:auto val="1"/>
        <c:lblAlgn val="ctr"/>
        <c:lblOffset val="100"/>
        <c:noMultiLvlLbl val="0"/>
      </c:catAx>
      <c:valAx>
        <c:axId val="239667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96667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CASH</a:t>
            </a:r>
            <a:r>
              <a:rPr lang="en-US" baseline="0"/>
              <a:t> BALANCE MOVEMENT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4"/>
          <c:order val="0"/>
          <c:tx>
            <c:strRef>
              <c:f>'BEST CASE SCENARIO'!$F$1</c:f>
              <c:strCache>
                <c:ptCount val="1"/>
                <c:pt idx="0">
                  <c:v>CLOSING BALANCE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f>'BEST CASE SCENARIO'!$A$2:$A$7</c:f>
              <c:strCache>
                <c:ptCount val="6"/>
                <c:pt idx="0">
                  <c:v>APRIL(FORECAST)</c:v>
                </c:pt>
                <c:pt idx="1">
                  <c:v>MAY(FORECAST)</c:v>
                </c:pt>
                <c:pt idx="2">
                  <c:v>JUNE(FORECAST)</c:v>
                </c:pt>
                <c:pt idx="3">
                  <c:v>JULY(FORECAST)</c:v>
                </c:pt>
                <c:pt idx="4">
                  <c:v>AUGUST(FORECAST)</c:v>
                </c:pt>
                <c:pt idx="5">
                  <c:v>SEPTEMBER(FORECAST)</c:v>
                </c:pt>
              </c:strCache>
            </c:strRef>
          </c:cat>
          <c:val>
            <c:numRef>
              <c:f>'BEST CASE SCENARIO'!$F$2:$F$7</c:f>
              <c:numCache>
                <c:formatCode>0</c:formatCode>
                <c:ptCount val="6"/>
                <c:pt idx="0" formatCode="General">
                  <c:v>266760</c:v>
                </c:pt>
                <c:pt idx="1">
                  <c:v>288111.59999999998</c:v>
                </c:pt>
                <c:pt idx="2">
                  <c:v>316990.40399999998</c:v>
                </c:pt>
                <c:pt idx="3">
                  <c:v>354448.62683999998</c:v>
                </c:pt>
                <c:pt idx="4">
                  <c:v>401669.21765160002</c:v>
                </c:pt>
                <c:pt idx="5">
                  <c:v>459981.68202831608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1B-491D-B8A5-A01CB1CBFE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1042960"/>
        <c:axId val="221043344"/>
      </c:lineChart>
      <c:catAx>
        <c:axId val="2210429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1043344"/>
        <c:crosses val="autoZero"/>
        <c:auto val="1"/>
        <c:lblAlgn val="ctr"/>
        <c:lblOffset val="100"/>
        <c:noMultiLvlLbl val="0"/>
      </c:catAx>
      <c:valAx>
        <c:axId val="221043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10429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CASH</a:t>
            </a:r>
            <a:r>
              <a:rPr lang="en-US" baseline="0"/>
              <a:t> BALANCE MOVEMENT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4"/>
          <c:order val="0"/>
          <c:tx>
            <c:strRef>
              <c:f>'WORST CASE SCENARIO'!$F$1</c:f>
              <c:strCache>
                <c:ptCount val="1"/>
                <c:pt idx="0">
                  <c:v>CLOSING BALANCE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f>'WORST CASE SCENARIO'!$A$2:$A$7</c:f>
              <c:strCache>
                <c:ptCount val="6"/>
                <c:pt idx="0">
                  <c:v>APRIL(FORECAST)</c:v>
                </c:pt>
                <c:pt idx="1">
                  <c:v>MAY(FORECAST)</c:v>
                </c:pt>
                <c:pt idx="2">
                  <c:v>JUNE(FORECAST)</c:v>
                </c:pt>
                <c:pt idx="3">
                  <c:v>JULY(FORECAST)</c:v>
                </c:pt>
                <c:pt idx="4">
                  <c:v>AUGUST(FORECAST)</c:v>
                </c:pt>
                <c:pt idx="5">
                  <c:v>SEPTEMBER(FORECAST)</c:v>
                </c:pt>
              </c:strCache>
            </c:strRef>
          </c:cat>
          <c:val>
            <c:numRef>
              <c:f>'WORST CASE SCENARIO'!$F$2:$F$7</c:f>
              <c:numCache>
                <c:formatCode>0</c:formatCode>
                <c:ptCount val="6"/>
                <c:pt idx="0" formatCode="General">
                  <c:v>257630</c:v>
                </c:pt>
                <c:pt idx="1">
                  <c:v>259424.9</c:v>
                </c:pt>
                <c:pt idx="2">
                  <c:v>256869.24699999997</c:v>
                </c:pt>
                <c:pt idx="3">
                  <c:v>249392.08440999995</c:v>
                </c:pt>
                <c:pt idx="4">
                  <c:v>236361.28294229991</c:v>
                </c:pt>
                <c:pt idx="5">
                  <c:v>217077.30103056887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D4-4C7B-A2FC-ACEA7D5655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2868952"/>
        <c:axId val="192858240"/>
      </c:lineChart>
      <c:catAx>
        <c:axId val="192868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858240"/>
        <c:crosses val="autoZero"/>
        <c:auto val="1"/>
        <c:lblAlgn val="ctr"/>
        <c:lblOffset val="100"/>
        <c:noMultiLvlLbl val="0"/>
      </c:catAx>
      <c:valAx>
        <c:axId val="192858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8689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2"/>
          <c:order val="0"/>
          <c:tx>
            <c:strRef>
              <c:f>'WORST CASE SCENARIO'!$D$1</c:f>
              <c:strCache>
                <c:ptCount val="1"/>
                <c:pt idx="0">
                  <c:v>NET CASH FLOW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'WORST CASE SCENARIO'!$A$2:$A$7</c:f>
              <c:strCache>
                <c:ptCount val="6"/>
                <c:pt idx="0">
                  <c:v>APRIL(FORECAST)</c:v>
                </c:pt>
                <c:pt idx="1">
                  <c:v>MAY(FORECAST)</c:v>
                </c:pt>
                <c:pt idx="2">
                  <c:v>JUNE(FORECAST)</c:v>
                </c:pt>
                <c:pt idx="3">
                  <c:v>JULY(FORECAST)</c:v>
                </c:pt>
                <c:pt idx="4">
                  <c:v>AUGUST(FORECAST)</c:v>
                </c:pt>
                <c:pt idx="5">
                  <c:v>SEPTEMBER(FORECAST)</c:v>
                </c:pt>
              </c:strCache>
            </c:strRef>
          </c:cat>
          <c:val>
            <c:numRef>
              <c:f>'WORST CASE SCENARIO'!$D$2:$D$7</c:f>
              <c:numCache>
                <c:formatCode>0</c:formatCode>
                <c:ptCount val="6"/>
                <c:pt idx="0" formatCode="General">
                  <c:v>5629.9999999999927</c:v>
                </c:pt>
                <c:pt idx="1">
                  <c:v>1794.8999999999869</c:v>
                </c:pt>
                <c:pt idx="2">
                  <c:v>-2555.6530000000057</c:v>
                </c:pt>
                <c:pt idx="3">
                  <c:v>-7477.1625900000217</c:v>
                </c:pt>
                <c:pt idx="4">
                  <c:v>-13030.801467700032</c:v>
                </c:pt>
                <c:pt idx="5">
                  <c:v>-19283.98191173104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78E-4975-AB7E-BA9232D5CC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4915784"/>
        <c:axId val="224916176"/>
      </c:lineChart>
      <c:catAx>
        <c:axId val="2249157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4916176"/>
        <c:crosses val="autoZero"/>
        <c:auto val="1"/>
        <c:lblAlgn val="ctr"/>
        <c:lblOffset val="100"/>
        <c:noMultiLvlLbl val="0"/>
      </c:catAx>
      <c:valAx>
        <c:axId val="224916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49157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447675</xdr:colOff>
      <xdr:row>21</xdr:row>
      <xdr:rowOff>14287</xdr:rowOff>
    </xdr:from>
    <xdr:to>
      <xdr:col>4</xdr:col>
      <xdr:colOff>619125</xdr:colOff>
      <xdr:row>35</xdr:row>
      <xdr:rowOff>90487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1076325</xdr:colOff>
      <xdr:row>21</xdr:row>
      <xdr:rowOff>4762</xdr:rowOff>
    </xdr:from>
    <xdr:to>
      <xdr:col>7</xdr:col>
      <xdr:colOff>285750</xdr:colOff>
      <xdr:row>35</xdr:row>
      <xdr:rowOff>80962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533400</xdr:colOff>
      <xdr:row>10</xdr:row>
      <xdr:rowOff>4762</xdr:rowOff>
    </xdr:from>
    <xdr:to>
      <xdr:col>4</xdr:col>
      <xdr:colOff>666750</xdr:colOff>
      <xdr:row>24</xdr:row>
      <xdr:rowOff>80962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1152525</xdr:colOff>
      <xdr:row>9</xdr:row>
      <xdr:rowOff>166687</xdr:rowOff>
    </xdr:from>
    <xdr:to>
      <xdr:col>11</xdr:col>
      <xdr:colOff>276225</xdr:colOff>
      <xdr:row>24</xdr:row>
      <xdr:rowOff>52387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733426</xdr:colOff>
      <xdr:row>9</xdr:row>
      <xdr:rowOff>14287</xdr:rowOff>
    </xdr:from>
    <xdr:to>
      <xdr:col>6</xdr:col>
      <xdr:colOff>3162300</xdr:colOff>
      <xdr:row>23</xdr:row>
      <xdr:rowOff>85725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352425</xdr:colOff>
      <xdr:row>8</xdr:row>
      <xdr:rowOff>185737</xdr:rowOff>
    </xdr:from>
    <xdr:to>
      <xdr:col>4</xdr:col>
      <xdr:colOff>485775</xdr:colOff>
      <xdr:row>23</xdr:row>
      <xdr:rowOff>71437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9"/>
  <sheetViews>
    <sheetView tabSelected="1" workbookViewId="0">
      <selection activeCell="H12" sqref="H12"/>
    </sheetView>
  </sheetViews>
  <sheetFormatPr defaultRowHeight="14.4" x14ac:dyDescent="0.3"/>
  <cols>
    <col min="1" max="1" width="22.109375" bestFit="1" customWidth="1"/>
    <col min="2" max="2" width="13.44140625" bestFit="1" customWidth="1"/>
    <col min="3" max="3" width="15.109375" bestFit="1" customWidth="1"/>
    <col min="4" max="4" width="15.33203125" bestFit="1" customWidth="1"/>
    <col min="5" max="5" width="18.109375" bestFit="1" customWidth="1"/>
    <col min="6" max="6" width="17.5546875" bestFit="1" customWidth="1"/>
    <col min="7" max="7" width="44.6640625" bestFit="1" customWidth="1"/>
  </cols>
  <sheetData>
    <row r="1" spans="1:7" x14ac:dyDescent="0.3">
      <c r="A1" s="1" t="s">
        <v>21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17</v>
      </c>
    </row>
    <row r="2" spans="1:7" x14ac:dyDescent="0.3">
      <c r="A2" s="1" t="s">
        <v>5</v>
      </c>
      <c r="B2">
        <v>50000</v>
      </c>
      <c r="C2">
        <v>40000</v>
      </c>
      <c r="D2">
        <f>B2-C2</f>
        <v>10000</v>
      </c>
      <c r="E2">
        <v>100000</v>
      </c>
      <c r="F2">
        <f>E2+D2</f>
        <v>110000</v>
      </c>
    </row>
    <row r="3" spans="1:7" x14ac:dyDescent="0.3">
      <c r="A3" s="1" t="s">
        <v>6</v>
      </c>
      <c r="B3">
        <v>60000</v>
      </c>
      <c r="C3">
        <v>45000</v>
      </c>
      <c r="D3">
        <f t="shared" ref="D3:D19" si="0">B3-C3</f>
        <v>15000</v>
      </c>
      <c r="E3">
        <f>F2</f>
        <v>110000</v>
      </c>
      <c r="F3">
        <f t="shared" ref="F3:F19" si="1">E3+D3</f>
        <v>125000</v>
      </c>
    </row>
    <row r="4" spans="1:7" x14ac:dyDescent="0.3">
      <c r="A4" s="1" t="s">
        <v>7</v>
      </c>
      <c r="B4">
        <v>55000</v>
      </c>
      <c r="C4">
        <v>50000</v>
      </c>
      <c r="D4">
        <f t="shared" si="0"/>
        <v>5000</v>
      </c>
      <c r="E4">
        <f t="shared" ref="E4:E19" si="2">F3</f>
        <v>125000</v>
      </c>
      <c r="F4">
        <f t="shared" si="1"/>
        <v>130000</v>
      </c>
      <c r="G4" t="s">
        <v>20</v>
      </c>
    </row>
    <row r="5" spans="1:7" x14ac:dyDescent="0.3">
      <c r="A5" s="1" t="s">
        <v>8</v>
      </c>
      <c r="B5">
        <v>70000</v>
      </c>
      <c r="C5">
        <v>52000</v>
      </c>
      <c r="D5">
        <f t="shared" si="0"/>
        <v>18000</v>
      </c>
      <c r="E5">
        <f t="shared" si="2"/>
        <v>130000</v>
      </c>
      <c r="F5">
        <f t="shared" si="1"/>
        <v>148000</v>
      </c>
    </row>
    <row r="6" spans="1:7" x14ac:dyDescent="0.3">
      <c r="A6" s="1" t="s">
        <v>9</v>
      </c>
      <c r="B6">
        <v>65000</v>
      </c>
      <c r="C6">
        <v>40000</v>
      </c>
      <c r="D6">
        <f t="shared" si="0"/>
        <v>25000</v>
      </c>
      <c r="E6">
        <f t="shared" si="2"/>
        <v>148000</v>
      </c>
      <c r="F6">
        <f t="shared" si="1"/>
        <v>173000</v>
      </c>
    </row>
    <row r="7" spans="1:7" x14ac:dyDescent="0.3">
      <c r="A7" s="1" t="s">
        <v>10</v>
      </c>
      <c r="B7">
        <v>52000</v>
      </c>
      <c r="C7">
        <v>45000</v>
      </c>
      <c r="D7">
        <f t="shared" si="0"/>
        <v>7000</v>
      </c>
      <c r="E7">
        <f t="shared" si="2"/>
        <v>173000</v>
      </c>
      <c r="F7">
        <f t="shared" si="1"/>
        <v>180000</v>
      </c>
    </row>
    <row r="8" spans="1:7" x14ac:dyDescent="0.3">
      <c r="A8" s="1" t="s">
        <v>11</v>
      </c>
      <c r="B8">
        <v>42000</v>
      </c>
      <c r="C8">
        <v>48000</v>
      </c>
      <c r="D8">
        <f t="shared" si="0"/>
        <v>-6000</v>
      </c>
      <c r="E8">
        <f t="shared" si="2"/>
        <v>180000</v>
      </c>
      <c r="F8">
        <f t="shared" si="1"/>
        <v>174000</v>
      </c>
      <c r="G8" t="s">
        <v>18</v>
      </c>
    </row>
    <row r="9" spans="1:7" x14ac:dyDescent="0.3">
      <c r="A9" s="1" t="s">
        <v>12</v>
      </c>
      <c r="B9">
        <v>68000</v>
      </c>
      <c r="C9">
        <v>52000</v>
      </c>
      <c r="D9">
        <f t="shared" si="0"/>
        <v>16000</v>
      </c>
      <c r="E9">
        <f t="shared" si="2"/>
        <v>174000</v>
      </c>
      <c r="F9">
        <f t="shared" si="1"/>
        <v>190000</v>
      </c>
    </row>
    <row r="10" spans="1:7" x14ac:dyDescent="0.3">
      <c r="A10" s="1" t="s">
        <v>13</v>
      </c>
      <c r="B10">
        <v>57000</v>
      </c>
      <c r="C10">
        <v>40000</v>
      </c>
      <c r="D10">
        <f t="shared" si="0"/>
        <v>17000</v>
      </c>
      <c r="E10">
        <f t="shared" si="2"/>
        <v>190000</v>
      </c>
      <c r="F10">
        <f t="shared" si="1"/>
        <v>207000</v>
      </c>
    </row>
    <row r="11" spans="1:7" x14ac:dyDescent="0.3">
      <c r="A11" s="1" t="s">
        <v>14</v>
      </c>
      <c r="B11">
        <v>72000</v>
      </c>
      <c r="C11">
        <v>45000</v>
      </c>
      <c r="D11">
        <f t="shared" si="0"/>
        <v>27000</v>
      </c>
      <c r="E11">
        <f t="shared" si="2"/>
        <v>207000</v>
      </c>
      <c r="F11">
        <f t="shared" si="1"/>
        <v>234000</v>
      </c>
      <c r="G11" t="s">
        <v>19</v>
      </c>
    </row>
    <row r="12" spans="1:7" x14ac:dyDescent="0.3">
      <c r="A12" s="1" t="s">
        <v>15</v>
      </c>
      <c r="B12">
        <v>59000</v>
      </c>
      <c r="C12">
        <v>50000</v>
      </c>
      <c r="D12">
        <f t="shared" si="0"/>
        <v>9000</v>
      </c>
      <c r="E12">
        <f t="shared" si="2"/>
        <v>234000</v>
      </c>
      <c r="F12">
        <f t="shared" si="1"/>
        <v>243000</v>
      </c>
      <c r="G12" t="s">
        <v>69</v>
      </c>
    </row>
    <row r="13" spans="1:7" x14ac:dyDescent="0.3">
      <c r="A13" s="1" t="s">
        <v>16</v>
      </c>
      <c r="B13">
        <v>61000</v>
      </c>
      <c r="C13">
        <v>52000</v>
      </c>
      <c r="D13">
        <f t="shared" si="0"/>
        <v>9000</v>
      </c>
      <c r="E13">
        <f t="shared" si="2"/>
        <v>243000</v>
      </c>
      <c r="F13">
        <f t="shared" si="1"/>
        <v>252000</v>
      </c>
      <c r="G13" t="s">
        <v>69</v>
      </c>
    </row>
    <row r="14" spans="1:7" x14ac:dyDescent="0.3">
      <c r="A14" s="1" t="s">
        <v>22</v>
      </c>
      <c r="B14">
        <f>B13*(1+ASSUMPTIONS!B1)</f>
        <v>65880</v>
      </c>
      <c r="C14">
        <f>C13*(1+ASSUMPTIONS!B2)</f>
        <v>54600</v>
      </c>
      <c r="D14">
        <f t="shared" si="0"/>
        <v>11280</v>
      </c>
      <c r="E14">
        <f t="shared" si="2"/>
        <v>252000</v>
      </c>
      <c r="F14">
        <f t="shared" si="1"/>
        <v>263280</v>
      </c>
    </row>
    <row r="15" spans="1:7" x14ac:dyDescent="0.3">
      <c r="A15" s="1" t="s">
        <v>23</v>
      </c>
      <c r="B15" s="3">
        <f>B14*(1+ASSUMPTIONS!B1)</f>
        <v>71150.400000000009</v>
      </c>
      <c r="C15">
        <f>C14*(1+ASSUMPTIONS!B2)</f>
        <v>57330</v>
      </c>
      <c r="D15" s="3">
        <f t="shared" si="0"/>
        <v>13820.400000000009</v>
      </c>
      <c r="E15">
        <f t="shared" si="2"/>
        <v>263280</v>
      </c>
      <c r="F15" s="3">
        <f t="shared" si="1"/>
        <v>277100.40000000002</v>
      </c>
    </row>
    <row r="16" spans="1:7" x14ac:dyDescent="0.3">
      <c r="A16" s="1" t="s">
        <v>24</v>
      </c>
      <c r="B16" s="3">
        <f>B15*(1+ASSUMPTIONS!B1)</f>
        <v>76842.432000000015</v>
      </c>
      <c r="C16" s="3">
        <f>C15*(1+ASSUMPTIONS!B2)</f>
        <v>60196.5</v>
      </c>
      <c r="D16" s="3">
        <f t="shared" si="0"/>
        <v>16645.932000000015</v>
      </c>
      <c r="E16" s="3">
        <f t="shared" si="2"/>
        <v>277100.40000000002</v>
      </c>
      <c r="F16" s="3">
        <f t="shared" si="1"/>
        <v>293746.33200000005</v>
      </c>
    </row>
    <row r="17" spans="1:6" x14ac:dyDescent="0.3">
      <c r="A17" s="1" t="s">
        <v>25</v>
      </c>
      <c r="B17" s="3">
        <f>B16*(1+ASSUMPTIONS!B1)</f>
        <v>82989.826560000016</v>
      </c>
      <c r="C17" s="3">
        <f>C16*(1+ASSUMPTIONS!B2)</f>
        <v>63206.325000000004</v>
      </c>
      <c r="D17" s="3">
        <f t="shared" si="0"/>
        <v>19783.501560000012</v>
      </c>
      <c r="E17" s="3">
        <f t="shared" si="2"/>
        <v>293746.33200000005</v>
      </c>
      <c r="F17" s="3">
        <f t="shared" si="1"/>
        <v>313529.83356000006</v>
      </c>
    </row>
    <row r="18" spans="1:6" x14ac:dyDescent="0.3">
      <c r="A18" s="1" t="s">
        <v>26</v>
      </c>
      <c r="B18" s="3">
        <f>B17*(1+ASSUMPTIONS!B1)</f>
        <v>89629.012684800022</v>
      </c>
      <c r="C18" s="3">
        <f>C17*(1+ASSUMPTIONS!B2)</f>
        <v>66366.641250000001</v>
      </c>
      <c r="D18" s="3">
        <f t="shared" si="0"/>
        <v>23262.371434800021</v>
      </c>
      <c r="E18" s="3">
        <f t="shared" si="2"/>
        <v>313529.83356000006</v>
      </c>
      <c r="F18" s="3">
        <f t="shared" si="1"/>
        <v>336792.20499480009</v>
      </c>
    </row>
    <row r="19" spans="1:6" x14ac:dyDescent="0.3">
      <c r="A19" s="1" t="s">
        <v>27</v>
      </c>
      <c r="B19" s="3">
        <f>B18*(1+ASSUMPTIONS!B1)</f>
        <v>96799.333699584036</v>
      </c>
      <c r="C19" s="3">
        <f>C18*(1+ASSUMPTIONS!B2)</f>
        <v>69684.973312500006</v>
      </c>
      <c r="D19" s="3">
        <f t="shared" si="0"/>
        <v>27114.360387084031</v>
      </c>
      <c r="E19" s="3">
        <f t="shared" si="2"/>
        <v>336792.20499480009</v>
      </c>
      <c r="F19" s="3">
        <f t="shared" si="1"/>
        <v>363906.56538188411</v>
      </c>
    </row>
  </sheetData>
  <conditionalFormatting sqref="D1:D104857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4">
    <cfRule type="colorScale" priority="5">
      <colorScale>
        <cfvo type="min"/>
        <cfvo type="max"/>
        <color rgb="FF63BE7B"/>
        <color rgb="FFFCFCFF"/>
      </colorScale>
    </cfRule>
    <cfRule type="colorScale" priority="8">
      <colorScale>
        <cfvo type="min"/>
        <cfvo type="max"/>
        <color rgb="FF63BE7B"/>
        <color rgb="FFFFEF9C"/>
      </colorScale>
    </cfRule>
    <cfRule type="colorScale" priority="9">
      <colorScale>
        <cfvo type="min"/>
        <cfvo type="percentile" val="50"/>
        <cfvo type="max"/>
        <color rgb="FF63BE7B"/>
        <color rgb="FFFCFCFF"/>
        <color rgb="FFF8696B"/>
      </colorScale>
    </cfRule>
  </conditionalFormatting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workbookViewId="0">
      <selection activeCell="F12" sqref="F12"/>
    </sheetView>
  </sheetViews>
  <sheetFormatPr defaultRowHeight="14.4" x14ac:dyDescent="0.3"/>
  <cols>
    <col min="1" max="1" width="30.6640625" bestFit="1" customWidth="1"/>
  </cols>
  <sheetData>
    <row r="1" spans="1:2" x14ac:dyDescent="0.3">
      <c r="A1" t="s">
        <v>28</v>
      </c>
      <c r="B1" s="2">
        <v>0.08</v>
      </c>
    </row>
    <row r="2" spans="1:2" x14ac:dyDescent="0.3">
      <c r="A2" t="s">
        <v>29</v>
      </c>
      <c r="B2" s="2">
        <v>0.05</v>
      </c>
    </row>
    <row r="3" spans="1:2" x14ac:dyDescent="0.3">
      <c r="A3" s="1" t="s">
        <v>32</v>
      </c>
    </row>
    <row r="4" spans="1:2" x14ac:dyDescent="0.3">
      <c r="A4" t="s">
        <v>30</v>
      </c>
      <c r="B4" s="2">
        <v>0.12</v>
      </c>
    </row>
    <row r="5" spans="1:2" x14ac:dyDescent="0.3">
      <c r="A5" t="s">
        <v>31</v>
      </c>
      <c r="B5" s="2">
        <v>0.03</v>
      </c>
    </row>
    <row r="6" spans="1:2" x14ac:dyDescent="0.3">
      <c r="A6" s="1" t="s">
        <v>33</v>
      </c>
    </row>
    <row r="7" spans="1:2" x14ac:dyDescent="0.3">
      <c r="A7" t="s">
        <v>34</v>
      </c>
      <c r="B7" s="2">
        <v>0.03</v>
      </c>
    </row>
    <row r="8" spans="1:2" x14ac:dyDescent="0.3">
      <c r="A8" t="s">
        <v>35</v>
      </c>
      <c r="B8" s="2">
        <v>0.1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7"/>
  <sheetViews>
    <sheetView workbookViewId="0">
      <selection activeCell="F8" sqref="F8"/>
    </sheetView>
  </sheetViews>
  <sheetFormatPr defaultRowHeight="14.4" x14ac:dyDescent="0.3"/>
  <cols>
    <col min="1" max="1" width="22.109375" bestFit="1" customWidth="1"/>
    <col min="2" max="2" width="13.5546875" bestFit="1" customWidth="1"/>
    <col min="3" max="4" width="15.44140625" bestFit="1" customWidth="1"/>
    <col min="5" max="5" width="18.33203125" bestFit="1" customWidth="1"/>
    <col min="6" max="6" width="17.6640625" bestFit="1" customWidth="1"/>
  </cols>
  <sheetData>
    <row r="1" spans="1:6" x14ac:dyDescent="0.3">
      <c r="A1" s="1" t="s">
        <v>21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3">
      <c r="A2" s="1" t="s">
        <v>22</v>
      </c>
      <c r="B2">
        <f>'CASH FLOW'!B13*(1+ASSUMPTIONS!B4)</f>
        <v>68320</v>
      </c>
      <c r="C2">
        <f>'CASH FLOW'!C13*(1+ASSUMPTIONS!B5)</f>
        <v>53560</v>
      </c>
      <c r="D2">
        <f>B2-C2</f>
        <v>14760</v>
      </c>
      <c r="E2">
        <v>252000</v>
      </c>
      <c r="F2">
        <f>D2+E2</f>
        <v>266760</v>
      </c>
    </row>
    <row r="3" spans="1:6" x14ac:dyDescent="0.3">
      <c r="A3" s="1" t="s">
        <v>23</v>
      </c>
      <c r="B3" s="3">
        <f>B2*(1+ASSUMPTIONS!B4)</f>
        <v>76518.400000000009</v>
      </c>
      <c r="C3" s="3">
        <f>C2*(1+ASSUMPTIONS!B5)</f>
        <v>55166.8</v>
      </c>
      <c r="D3" s="3">
        <f t="shared" ref="D3:D7" si="0">B3-C3</f>
        <v>21351.600000000006</v>
      </c>
      <c r="E3">
        <f>F2</f>
        <v>266760</v>
      </c>
      <c r="F3" s="3">
        <f t="shared" ref="F3:F7" si="1">D3+E3</f>
        <v>288111.59999999998</v>
      </c>
    </row>
    <row r="4" spans="1:6" x14ac:dyDescent="0.3">
      <c r="A4" s="1" t="s">
        <v>24</v>
      </c>
      <c r="B4" s="3">
        <f>B3*(1+ASSUMPTIONS!B4)</f>
        <v>85700.608000000022</v>
      </c>
      <c r="C4" s="3">
        <f>C3*(1+ASSUMPTIONS!B5)</f>
        <v>56821.804000000004</v>
      </c>
      <c r="D4" s="3">
        <f t="shared" si="0"/>
        <v>28878.804000000018</v>
      </c>
      <c r="E4" s="3">
        <f t="shared" ref="E4:E7" si="2">F3</f>
        <v>288111.59999999998</v>
      </c>
      <c r="F4" s="3">
        <f t="shared" si="1"/>
        <v>316990.40399999998</v>
      </c>
    </row>
    <row r="5" spans="1:6" x14ac:dyDescent="0.3">
      <c r="A5" s="1" t="s">
        <v>25</v>
      </c>
      <c r="B5" s="3">
        <f>B4*(1+ASSUMPTIONS!B4)</f>
        <v>95984.680960000027</v>
      </c>
      <c r="C5" s="3">
        <f>C4*(1+ASSUMPTIONS!B5)</f>
        <v>58526.458120000003</v>
      </c>
      <c r="D5" s="3">
        <f t="shared" si="0"/>
        <v>37458.222840000024</v>
      </c>
      <c r="E5" s="3">
        <f t="shared" si="2"/>
        <v>316990.40399999998</v>
      </c>
      <c r="F5" s="3">
        <f t="shared" si="1"/>
        <v>354448.62683999998</v>
      </c>
    </row>
    <row r="6" spans="1:6" x14ac:dyDescent="0.3">
      <c r="A6" s="1" t="s">
        <v>26</v>
      </c>
      <c r="B6" s="3">
        <f>B5*(1+ASSUMPTIONS!B4)</f>
        <v>107502.84267520004</v>
      </c>
      <c r="C6" s="3">
        <f>C5*(1+ASSUMPTIONS!B5)</f>
        <v>60282.251863600002</v>
      </c>
      <c r="D6" s="3">
        <f t="shared" si="0"/>
        <v>47220.590811600036</v>
      </c>
      <c r="E6" s="3">
        <f t="shared" si="2"/>
        <v>354448.62683999998</v>
      </c>
      <c r="F6" s="3">
        <f t="shared" si="1"/>
        <v>401669.21765160002</v>
      </c>
    </row>
    <row r="7" spans="1:6" x14ac:dyDescent="0.3">
      <c r="A7" s="1" t="s">
        <v>27</v>
      </c>
      <c r="B7" s="3">
        <f>B6*(1+ASSUMPTIONS!B4)</f>
        <v>120403.18379622405</v>
      </c>
      <c r="C7" s="3">
        <f>C6*(1+ASSUMPTIONS!B5)</f>
        <v>62090.719419508001</v>
      </c>
      <c r="D7" s="3">
        <f t="shared" si="0"/>
        <v>58312.464376716052</v>
      </c>
      <c r="E7" s="3">
        <f t="shared" si="2"/>
        <v>401669.21765160002</v>
      </c>
      <c r="F7" s="3">
        <f t="shared" si="1"/>
        <v>459981.68202831608</v>
      </c>
    </row>
  </sheetData>
  <conditionalFormatting sqref="D1:D104857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7"/>
  <sheetViews>
    <sheetView workbookViewId="0">
      <selection activeCell="I17" sqref="I17"/>
    </sheetView>
  </sheetViews>
  <sheetFormatPr defaultRowHeight="14.4" x14ac:dyDescent="0.3"/>
  <cols>
    <col min="1" max="1" width="22.109375" bestFit="1" customWidth="1"/>
    <col min="2" max="2" width="13.5546875" bestFit="1" customWidth="1"/>
    <col min="3" max="4" width="15.44140625" bestFit="1" customWidth="1"/>
    <col min="5" max="5" width="18.33203125" bestFit="1" customWidth="1"/>
    <col min="6" max="6" width="17.6640625" bestFit="1" customWidth="1"/>
    <col min="7" max="7" width="56.44140625" bestFit="1" customWidth="1"/>
  </cols>
  <sheetData>
    <row r="1" spans="1:7" x14ac:dyDescent="0.3">
      <c r="A1" s="1" t="s">
        <v>21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17</v>
      </c>
    </row>
    <row r="2" spans="1:7" x14ac:dyDescent="0.3">
      <c r="A2" s="1" t="s">
        <v>22</v>
      </c>
      <c r="B2">
        <f>'CASH FLOW'!B13*(1+ASSUMPTIONS!B7)</f>
        <v>62830</v>
      </c>
      <c r="C2">
        <f>'CASH FLOW'!C13*(1+ASSUMPTIONS!B8)</f>
        <v>57200.000000000007</v>
      </c>
      <c r="D2">
        <f>B2-C2</f>
        <v>5629.9999999999927</v>
      </c>
      <c r="E2">
        <v>252000</v>
      </c>
      <c r="F2">
        <f>D2+E2</f>
        <v>257630</v>
      </c>
    </row>
    <row r="3" spans="1:7" x14ac:dyDescent="0.3">
      <c r="A3" s="1" t="s">
        <v>23</v>
      </c>
      <c r="B3" s="3">
        <f>B2*(1+ASSUMPTIONS!B7)</f>
        <v>64714.9</v>
      </c>
      <c r="C3">
        <f>C2*(1+ASSUMPTIONS!B8)</f>
        <v>62920.000000000015</v>
      </c>
      <c r="D3" s="3">
        <f t="shared" ref="D3:D6" si="0">B3-C3</f>
        <v>1794.8999999999869</v>
      </c>
      <c r="E3">
        <f>F2</f>
        <v>257630</v>
      </c>
      <c r="F3" s="3">
        <f t="shared" ref="F3:F7" si="1">D3+E3</f>
        <v>259424.9</v>
      </c>
    </row>
    <row r="4" spans="1:7" x14ac:dyDescent="0.3">
      <c r="A4" s="1" t="s">
        <v>24</v>
      </c>
      <c r="B4" s="3">
        <f>B3*(1+ASSUMPTIONS!B7)</f>
        <v>66656.347000000009</v>
      </c>
      <c r="C4">
        <f>C3*(1+ASSUMPTIONS!B8)</f>
        <v>69212.000000000015</v>
      </c>
      <c r="D4" s="3">
        <f t="shared" si="0"/>
        <v>-2555.6530000000057</v>
      </c>
      <c r="E4" s="3">
        <f t="shared" ref="E4:E7" si="2">F3</f>
        <v>259424.9</v>
      </c>
      <c r="F4" s="3">
        <f t="shared" si="1"/>
        <v>256869.24699999997</v>
      </c>
    </row>
    <row r="5" spans="1:7" x14ac:dyDescent="0.3">
      <c r="A5" s="1" t="s">
        <v>25</v>
      </c>
      <c r="B5" s="3">
        <f>B4*(1+ASSUMPTIONS!B7)</f>
        <v>68656.037410000004</v>
      </c>
      <c r="C5" s="3">
        <f>C4*(1+ASSUMPTIONS!B8)</f>
        <v>76133.200000000026</v>
      </c>
      <c r="D5" s="3">
        <f t="shared" si="0"/>
        <v>-7477.1625900000217</v>
      </c>
      <c r="E5" s="3">
        <f t="shared" si="2"/>
        <v>256869.24699999997</v>
      </c>
      <c r="F5" s="3">
        <f t="shared" si="1"/>
        <v>249392.08440999995</v>
      </c>
    </row>
    <row r="6" spans="1:7" x14ac:dyDescent="0.3">
      <c r="A6" s="1" t="s">
        <v>26</v>
      </c>
      <c r="B6" s="3">
        <f>B5*(1+ASSUMPTIONS!B7)</f>
        <v>70715.718532300001</v>
      </c>
      <c r="C6" s="3">
        <f>C5*(1+ASSUMPTIONS!B8)</f>
        <v>83746.520000000033</v>
      </c>
      <c r="D6" s="3">
        <f t="shared" si="0"/>
        <v>-13030.801467700032</v>
      </c>
      <c r="E6" s="3">
        <f t="shared" si="2"/>
        <v>249392.08440999995</v>
      </c>
      <c r="F6" s="3">
        <f t="shared" si="1"/>
        <v>236361.28294229991</v>
      </c>
    </row>
    <row r="7" spans="1:7" x14ac:dyDescent="0.3">
      <c r="A7" s="1" t="s">
        <v>27</v>
      </c>
      <c r="B7" s="3">
        <f>B6*(1+ASSUMPTIONS!B7)</f>
        <v>72837.19008826901</v>
      </c>
      <c r="C7" s="3">
        <f>C6*(1+ASSUMPTIONS!B8)</f>
        <v>92121.17200000005</v>
      </c>
      <c r="D7" s="3">
        <f>B7-C7</f>
        <v>-19283.98191173104</v>
      </c>
      <c r="E7" s="3">
        <f t="shared" si="2"/>
        <v>236361.28294229991</v>
      </c>
      <c r="F7" s="3">
        <f t="shared" si="1"/>
        <v>217077.30103056887</v>
      </c>
      <c r="G7" t="s">
        <v>52</v>
      </c>
    </row>
  </sheetData>
  <conditionalFormatting sqref="D1:D104857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37"/>
  <sheetViews>
    <sheetView workbookViewId="0">
      <selection activeCell="A3" sqref="A3"/>
    </sheetView>
  </sheetViews>
  <sheetFormatPr defaultRowHeight="14.4" x14ac:dyDescent="0.3"/>
  <cols>
    <col min="1" max="1" width="165" bestFit="1" customWidth="1"/>
  </cols>
  <sheetData>
    <row r="1" spans="1:1" x14ac:dyDescent="0.3">
      <c r="A1" s="1" t="s">
        <v>36</v>
      </c>
    </row>
    <row r="2" spans="1:1" x14ac:dyDescent="0.3">
      <c r="A2" s="4" t="s">
        <v>68</v>
      </c>
    </row>
    <row r="4" spans="1:1" x14ac:dyDescent="0.3">
      <c r="A4" s="1" t="s">
        <v>37</v>
      </c>
    </row>
    <row r="5" spans="1:1" x14ac:dyDescent="0.3">
      <c r="A5" t="s">
        <v>38</v>
      </c>
    </row>
    <row r="6" spans="1:1" x14ac:dyDescent="0.3">
      <c r="A6" t="s">
        <v>39</v>
      </c>
    </row>
    <row r="7" spans="1:1" x14ac:dyDescent="0.3">
      <c r="A7" t="s">
        <v>40</v>
      </c>
    </row>
    <row r="8" spans="1:1" x14ac:dyDescent="0.3">
      <c r="A8" t="s">
        <v>41</v>
      </c>
    </row>
    <row r="9" spans="1:1" x14ac:dyDescent="0.3">
      <c r="A9" t="s">
        <v>42</v>
      </c>
    </row>
    <row r="11" spans="1:1" x14ac:dyDescent="0.3">
      <c r="A11" s="1" t="s">
        <v>43</v>
      </c>
    </row>
    <row r="12" spans="1:1" x14ac:dyDescent="0.3">
      <c r="A12" t="s">
        <v>44</v>
      </c>
    </row>
    <row r="13" spans="1:1" x14ac:dyDescent="0.3">
      <c r="A13" t="s">
        <v>45</v>
      </c>
    </row>
    <row r="14" spans="1:1" x14ac:dyDescent="0.3">
      <c r="A14" t="s">
        <v>46</v>
      </c>
    </row>
    <row r="16" spans="1:1" x14ac:dyDescent="0.3">
      <c r="A16" s="1" t="s">
        <v>47</v>
      </c>
    </row>
    <row r="17" spans="1:1" x14ac:dyDescent="0.3">
      <c r="A17" t="s">
        <v>48</v>
      </c>
    </row>
    <row r="18" spans="1:1" x14ac:dyDescent="0.3">
      <c r="A18" t="s">
        <v>49</v>
      </c>
    </row>
    <row r="19" spans="1:1" x14ac:dyDescent="0.3">
      <c r="A19" t="s">
        <v>50</v>
      </c>
    </row>
    <row r="20" spans="1:1" x14ac:dyDescent="0.3">
      <c r="A20" t="s">
        <v>51</v>
      </c>
    </row>
    <row r="22" spans="1:1" x14ac:dyDescent="0.3">
      <c r="A22" s="1" t="s">
        <v>53</v>
      </c>
    </row>
    <row r="23" spans="1:1" x14ac:dyDescent="0.3">
      <c r="A23" t="s">
        <v>54</v>
      </c>
    </row>
    <row r="24" spans="1:1" x14ac:dyDescent="0.3">
      <c r="A24" t="s">
        <v>55</v>
      </c>
    </row>
    <row r="25" spans="1:1" x14ac:dyDescent="0.3">
      <c r="A25" t="s">
        <v>56</v>
      </c>
    </row>
    <row r="27" spans="1:1" x14ac:dyDescent="0.3">
      <c r="A27" t="s">
        <v>57</v>
      </c>
    </row>
    <row r="28" spans="1:1" x14ac:dyDescent="0.3">
      <c r="A28" t="s">
        <v>58</v>
      </c>
    </row>
    <row r="29" spans="1:1" x14ac:dyDescent="0.3">
      <c r="A29" t="s">
        <v>59</v>
      </c>
    </row>
    <row r="30" spans="1:1" x14ac:dyDescent="0.3">
      <c r="A30" t="s">
        <v>60</v>
      </c>
    </row>
    <row r="31" spans="1:1" x14ac:dyDescent="0.3">
      <c r="A31" t="s">
        <v>61</v>
      </c>
    </row>
    <row r="32" spans="1:1" x14ac:dyDescent="0.3">
      <c r="A32" t="s">
        <v>62</v>
      </c>
    </row>
    <row r="33" spans="1:1" x14ac:dyDescent="0.3">
      <c r="A33" t="s">
        <v>63</v>
      </c>
    </row>
    <row r="34" spans="1:1" x14ac:dyDescent="0.3">
      <c r="A34" t="s">
        <v>64</v>
      </c>
    </row>
    <row r="35" spans="1:1" x14ac:dyDescent="0.3">
      <c r="A35" t="s">
        <v>65</v>
      </c>
    </row>
    <row r="36" spans="1:1" x14ac:dyDescent="0.3">
      <c r="A36" t="s">
        <v>66</v>
      </c>
    </row>
    <row r="37" spans="1:1" x14ac:dyDescent="0.3">
      <c r="A37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CASH FLOW</vt:lpstr>
      <vt:lpstr>ASSUMPTIONS</vt:lpstr>
      <vt:lpstr>BEST CASE SCENARIO</vt:lpstr>
      <vt:lpstr>WORST CASE SCENARIO</vt:lpstr>
      <vt:lpstr>EXECUTIVE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</dc:creator>
  <cp:lastModifiedBy>Ajay kumar</cp:lastModifiedBy>
  <dcterms:created xsi:type="dcterms:W3CDTF">2026-02-03T10:08:03Z</dcterms:created>
  <dcterms:modified xsi:type="dcterms:W3CDTF">2026-06-18T13:26:18Z</dcterms:modified>
</cp:coreProperties>
</file>